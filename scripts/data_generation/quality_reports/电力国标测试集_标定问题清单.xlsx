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86" windowHeight="9413"/>
  </bookViews>
  <sheets>
    <sheet name="问题清单" sheetId="1" r:id="rId1"/>
    <sheet name="汇总统计" sheetId="2" r:id="rId2"/>
    <sheet name="分层核查" sheetId="3" r:id="rId3"/>
    <sheet name="字段说明"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<sst xmlns="http://schemas.openxmlformats.org/spreadsheetml/2006/main" count="568" uniqueCount="248">
  <si>
    <t>问题编号</t>
  </si>
  <si>
    <t>来源题号/范围</t>
  </si>
  <si>
    <t>层级</t>
  </si>
  <si>
    <t>问题大类</t>
  </si>
  <si>
    <t>问题小类</t>
  </si>
  <si>
    <t>严重程度</t>
  </si>
  <si>
    <t>置信度</t>
  </si>
  <si>
    <t>原始问题摘录</t>
  </si>
  <si>
    <t>标定发现的问题</t>
  </si>
  <si>
    <t>建议修改/处理</t>
  </si>
  <si>
    <t>核查依据/证据</t>
  </si>
  <si>
    <t>源文件</t>
  </si>
  <si>
    <t>是否计入L层准确率</t>
  </si>
  <si>
    <t>处理状态</t>
  </si>
  <si>
    <t>备注</t>
  </si>
  <si>
    <t>E-002</t>
  </si>
  <si>
    <t>N类</t>
  </si>
  <si>
    <t>N</t>
  </si>
  <si>
    <t>数量/结构</t>
  </si>
  <si>
    <t>类别缺失</t>
  </si>
  <si>
    <t>高</t>
  </si>
  <si>
    <t/>
  </si>
  <si>
    <t>N类独立测试题未生成，且没有单独类别标签。</t>
  </si>
  <si>
    <t>新增 N-001 至 N-020，单独Sheet或单独类别标签；明确“不纳入L层准确率统计”。</t>
  </si>
  <si>
    <t>用户要求：N、R类仅做独立测试，不纳入L层准确率统计；所有类别数据分开标注。</t>
  </si>
  <si>
    <t>电力国标测试集报告_docx.docx</t>
  </si>
  <si>
    <t>否（独立测试）</t>
  </si>
  <si>
    <t>待处理</t>
  </si>
  <si>
    <t>E-003</t>
  </si>
  <si>
    <t>R类</t>
  </si>
  <si>
    <t>R</t>
  </si>
  <si>
    <t>R类独立测试题未生成，且没有单独类别标签。</t>
  </si>
  <si>
    <t>新增 R-001 至 R-020，单独Sheet或单独类别标签；明确“不纳入L层准确率统计”。</t>
  </si>
  <si>
    <t>E-004</t>
  </si>
  <si>
    <t>全局</t>
  </si>
  <si>
    <t>元数据/说明</t>
  </si>
  <si>
    <t>说明与内容不一致</t>
  </si>
  <si>
    <t>中</t>
  </si>
  <si>
    <t>报告开头称用于评估“直白检索能力（L1级）”，但文件实际包含L1、L2、L3三层题目，说明与数据集范围不一致。</t>
  </si>
  <si>
    <t>将概况说明改为“分层评估L1直白检索、L2单规范推理、L3跨规范综合能力”。</t>
  </si>
  <si>
    <t>结果文件首页说明与后续L2/L3章节不一致。</t>
  </si>
  <si>
    <t>是</t>
  </si>
  <si>
    <t>E-005</t>
  </si>
  <si>
    <t>格式/OCR</t>
  </si>
  <si>
    <t>范围符号丢失</t>
  </si>
  <si>
    <t>多处数值范围中的“~ / ～”丢失，如1015、0.951.0、1.01.05、3d10d、0.850.95，影响程序比对和人工审查。</t>
  </si>
  <si>
    <t>批量修复数值范围符号，并对所有含数字范围的答案做二次校验。</t>
  </si>
  <si>
    <t>L1-032、L1-040、L1-050、L1-051、L1-061等。</t>
  </si>
  <si>
    <t>E-006</t>
  </si>
  <si>
    <t>质检规则</t>
  </si>
  <si>
    <t>L1可比对性不足</t>
  </si>
  <si>
    <t>L1要求“程序自动比对、原文匹配”，但多条L1存在非原文摘录、缺字符、条款错引，导致ground truth不稳定。</t>
  </si>
  <si>
    <t>L1答案必须逐条回贴规范原文，避免改写、概括和缺失符号。</t>
  </si>
  <si>
    <t>用户L1定义：答案可在单一条规范原文中直接检索、原文匹配。</t>
  </si>
  <si>
    <t>E-007</t>
  </si>
  <si>
    <t>L1-021</t>
  </si>
  <si>
    <t>L1</t>
  </si>
  <si>
    <t>事实/条款</t>
  </si>
  <si>
    <t>标准来源错引</t>
  </si>
  <si>
    <t>Q: GB 38755-2019 规范中对“时间同步系统”的定义是什么？ / A: 能接收外部时间基准信号，并按照要求的时间精度向外输出时间同步信号和时间信息的系统。</t>
  </si>
  <si>
    <t>题干和Std标注为GB 38755-2019，但“时间同步系统”定义实际出现在DL/T 5218-2012 §2.0.6，不属于GB 38755术语。</t>
  </si>
  <si>
    <t>将Q改为“根据DL/T 5218-2012……”；Std改为“DL/T 5218-2012 §2.0.6”。</t>
  </si>
  <si>
    <t>DL/T 5218-2012 §2.0.6：时间同步系统定义。</t>
  </si>
  <si>
    <t>E-008</t>
  </si>
  <si>
    <t>L1-024</t>
  </si>
  <si>
    <t>事实/答案</t>
  </si>
  <si>
    <t>关键数值错误</t>
  </si>
  <si>
    <t>Q: 根据 GB 38755-2019，制定黑启动方案时每个区域至少应安排几台具备黑启动能力的机组？ / A: 各区域须至少安排 12 台。</t>
  </si>
  <si>
    <t>答案写为“各区域须至少安排12台”，应为“1~2台”；这是严重数值错误。</t>
  </si>
  <si>
    <t>修正答案为“各区域须至少安排1~2台具备黑启动能力的机组”。</t>
  </si>
  <si>
    <t>GB 38755-2019 §3.7.2：各区域须至少安排1~2台具备黑启动能力的机组。</t>
  </si>
  <si>
    <t>E-009</t>
  </si>
  <si>
    <t>L1-032</t>
  </si>
  <si>
    <t>范围符号缺失</t>
  </si>
  <si>
    <t>Q: DL/T 5429-2009 规定，电力系统设计的远景展望年一般取今后多少年的某一年？ / A: 一般取今后 1015 年的某一年。</t>
  </si>
  <si>
    <t>答案“1015年”缺少范围连接符，标准表达应为“10~15年”。</t>
  </si>
  <si>
    <t>修正为“10~15年”。</t>
  </si>
  <si>
    <t>DL/T 5429-2009 §3.0.7：远景展望取今后10~15年的某一年。</t>
  </si>
  <si>
    <t>E-010</t>
  </si>
  <si>
    <t>L1-040</t>
  </si>
  <si>
    <t>Q: 根据 DL/T 5429-2009，变电站一次侧母线正常运行电压不应低于额定电压的多少倍？ / A: 不应低于 0.951.0 倍。</t>
  </si>
  <si>
    <t>答案“0.951.0倍”缺少范围连接符，影响数值理解。</t>
  </si>
  <si>
    <t>修正为“0.95~1.0倍”。</t>
  </si>
  <si>
    <t>DL/T 5429-2009 §6.2.3。</t>
  </si>
  <si>
    <t>E-011</t>
  </si>
  <si>
    <t>L1-050</t>
  </si>
  <si>
    <t>Q: DL/T 5429-2009 规定枢纽变电站二次侧母线运行电压控制水平一般为额定电压的多少倍？ / A: 1.01.05 倍。</t>
  </si>
  <si>
    <t>答案“1.01.05倍”缺少范围连接符，应为额定电压的1.0~1.05倍。</t>
  </si>
  <si>
    <t>修正为“1.0~1.05倍”。</t>
  </si>
  <si>
    <t>E-012</t>
  </si>
  <si>
    <t>L1-051</t>
  </si>
  <si>
    <t>Q: 根据 DL/T 5429-2009，水电站应预留事故备用容量在基荷连续运行多少天？ / A: 3d10d。</t>
  </si>
  <si>
    <t>答案“3d10d”缺少范围连接符。</t>
  </si>
  <si>
    <t>修正为“3d~10d”。</t>
  </si>
  <si>
    <t>DL/T 5429-2009 §5.2.4。</t>
  </si>
  <si>
    <t>E-013</t>
  </si>
  <si>
    <t>L1-061</t>
  </si>
  <si>
    <t>Q: 根据 DL/T 5429-2009，受端发电机功率因数范围通常是多少？ / A: 0.850.95。</t>
  </si>
  <si>
    <t>答案“0.850.95”缺少范围连接符。</t>
  </si>
  <si>
    <t>修正为“0.85~0.95”。</t>
  </si>
  <si>
    <t>DL/T 5429-2009 §7.2.3。</t>
  </si>
  <si>
    <t>E-014</t>
  </si>
  <si>
    <t>L1-071</t>
  </si>
  <si>
    <t>条款定位错误</t>
  </si>
  <si>
    <t>Q: 根据 DL/T 5218-2012，变电站主控通信楼的火灾危险性类别及最低耐火等级是多少？ / A: 火灾危险性类别为戊类，最低耐火等级为二级。</t>
  </si>
  <si>
    <t>主控通信楼火灾危险性类别和耐火等级来自DL/T 5218-2012表4.2.5，而非§10.2。</t>
  </si>
  <si>
    <t>Std改为“DL/T 5218-2012 表4.2.5”。</t>
  </si>
  <si>
    <t>DL/T 5218-2012 表4.2.5：主控通信楼为戊类、二级。</t>
  </si>
  <si>
    <t>E-015</t>
  </si>
  <si>
    <t>L1-072</t>
  </si>
  <si>
    <t>非原文改写</t>
  </si>
  <si>
    <t>Q: DL/T 5218-2012 规定变电站站区规划中远景规模应如何考虑？ / A: 应根据远景规模一次规划，分期实施。</t>
  </si>
  <si>
    <t>答案“远景规模一次规划，分期实施”不是§4.1原文表达，且“远景规模”与原文“最终规模规划、近远结合、以近为主”不一致。</t>
  </si>
  <si>
    <t>按原文改为“按最终规模规划，近远结合，以近为主；宜根据建设需要分期征用土地”。</t>
  </si>
  <si>
    <t>DL/T 5218-2012 §4.1.2。</t>
  </si>
  <si>
    <t>E-016</t>
  </si>
  <si>
    <t>L1-081</t>
  </si>
  <si>
    <t>答案过度概括</t>
  </si>
  <si>
    <t>Q: DL/T 5218-2012 规定站区竖向布置应根据什么条件确定？ / A: 根据站址地形、地质和出线条件确定。</t>
  </si>
  <si>
    <t>答案只写“站址地形、地质和出线条件”，但§4.3.2要求综合自然地形、工艺要求、总平面布置、土石方平衡、交通运输、场地土性质、排水等。</t>
  </si>
  <si>
    <t>补全为§4.3.2原文范围，或重写题干避免问“哪些条件”。</t>
  </si>
  <si>
    <t>DL/T 5218-2012 §4.3.2。</t>
  </si>
  <si>
    <t>E-017</t>
  </si>
  <si>
    <t>L1-086</t>
  </si>
  <si>
    <t>疑似无原文依据</t>
  </si>
  <si>
    <t>Q: 根据 DL/T 5218-2012，变电站场地的设计标高应高于什么？ / A: 应高于当地最高洪水位。</t>
  </si>
  <si>
    <t>题目称“场地设计标高应高于当地最高洪水位”，但DL/T 5218 §4.3.1原文为“站区场地设计标高应根据变电站的电压等级确定”；防洪防涝要求在§3.0.7，未直接表述“最高洪水位”。</t>
  </si>
  <si>
    <t>删除该题或改写为§3.0.7防洪防涝要求；若保留场地标高题，应按§4.3.1回答。</t>
  </si>
  <si>
    <t>DL/T 5218-2012 §3.0.7、§4.3.1。</t>
  </si>
  <si>
    <t>E-018</t>
  </si>
  <si>
    <t>L1-092</t>
  </si>
  <si>
    <t>疑似概括/错引</t>
  </si>
  <si>
    <t>Q: 根据 DL/T 5218-2012，变电站辅助设施应包含哪些内容？ / A: 包括火灾探测、消防、视频监控、采暖通风等。</t>
  </si>
  <si>
    <t>“辅助设施包括火灾探测、消防、视频监控、采暖通风等”与§5.9标题/内容不完全对应，容易混入不同章节内容。</t>
  </si>
  <si>
    <t>回查§5.9原文，按单条原文重写；不要跨消防、视频、暖通章节拼接。</t>
  </si>
  <si>
    <t>DL/T 5218-2012 §5.9及相关章节。</t>
  </si>
  <si>
    <t>E-019</t>
  </si>
  <si>
    <t>L1-100</t>
  </si>
  <si>
    <t>Q: 根据 DL/T 5218-2012，变电站户外式配电装置应如何布置以减少噪声？ / A: 宜在适当位置设置绿化带，降低噪声。</t>
  </si>
  <si>
    <t>答案“设置绿化带降低噪声”未在DL/T 5218 §11.3噪声防治条款中直接出现；原文强调声源控制、低噪声设备、隔声/消声/吸声等。</t>
  </si>
  <si>
    <t>改为§11.3.2或§11.3.3原文，或删除该题。</t>
  </si>
  <si>
    <t>DL/T 5218-2012 §11.3.2、§11.3.3。</t>
  </si>
  <si>
    <t>E-020</t>
  </si>
  <si>
    <t>L2-107</t>
  </si>
  <si>
    <t>L2</t>
  </si>
  <si>
    <t>事实/推理</t>
  </si>
  <si>
    <t>外部经验混入</t>
  </si>
  <si>
    <t>Q: 【场景】某 220kV 变电站为两台 120MVA 变压器，正常带 180MVA 负荷。现其中一台主变因油温过高跳闸，此时另一台主变承担 180MVA 负荷达 2 小时，期间未采取切负荷措施。【问题】该运行状态是否符合 DL/T 5429 的事故过负荷管理要求？ / A: …</t>
  </si>
  <si>
    <t>答案使用“通常变压器事故过负荷1.5倍允许时间极短”等经验判断，但Std只列DL/T 5429 §6.2.4，缺少直接规范依据。</t>
  </si>
  <si>
    <t>补充明确条文依据；若无法在三篇规范中支撑，应删除外部经验表达。</t>
  </si>
  <si>
    <t>L2要求同一规范内简单推理，不应引入未标定外部知识。</t>
  </si>
  <si>
    <t>E-021</t>
  </si>
  <si>
    <t>L2-109</t>
  </si>
  <si>
    <t>条文适用对象扩大</t>
  </si>
  <si>
    <t>Q: 【场景】某电网规划中，一个 220kV 变电站作为辐射性结构的终端站，仅通过单回线路供电，站内配 1 台变压器。【问题】当该单回线路故障时，此场景是否属于 N-1 原则豁免范畴？ / A: 不属于豁免。逻辑推演：1. 依据 GB 38755 §2.3 注 2，当发电厂或变电…</t>
  </si>
  <si>
    <t>答案将GB §2.3注2扩展到“变电站仅有一回受电线路”，但该注2原文针对“发电厂仅有一回送出线路”。</t>
  </si>
  <si>
    <t>避免把发电厂送出线路条文直接扩大到变电站受电线路；改为风险识别题或另找适用条文。</t>
  </si>
  <si>
    <t>GB 38755-2019 §2.3 注2。</t>
  </si>
  <si>
    <t>E-022</t>
  </si>
  <si>
    <t>L2-116</t>
  </si>
  <si>
    <t>结论与计算矛盾</t>
  </si>
  <si>
    <t>Q: 【场景】某省电网最大发电负荷为 20000MW，系统内最大单机容量为 1000MW。设计人员建议事故备用容量设为 1600MW。【问题】该事故备用容量的设置是否符合 DL/T 5429-2009？请计算并说明理由。 / A: 不符合。逻辑推演：1. 根据 DL/T 5429…</t>
  </si>
  <si>
    <t>题干给定最大负荷20000MW、最大单机1000MW、事故备用1600MW；按8%~10%为1600~2000MW，且1600MW&gt;1000MW，答案却判“不符合”，逻辑不成立。</t>
  </si>
  <si>
    <t>结论改为“数值满足下限，但应结合系统规模/水文等进一步论证”；不得直接判不符合。</t>
  </si>
  <si>
    <t>DL/T 5429-2009 §5.2.3。</t>
  </si>
  <si>
    <t>E-023</t>
  </si>
  <si>
    <t>L2-101</t>
  </si>
  <si>
    <t>分层规则</t>
  </si>
  <si>
    <t>跨文档推理</t>
  </si>
  <si>
    <t>Q: 【场景】某 220kV 枢纽变电站规划安装 2 台 240MVA 主变压器。该站地区最高负荷预测为 230MW，功率因数为 0.95。已知该站主变压器事故过负荷能力为 1.1 倍。【问题】若其中一台主变压器故障断开，基于 N-1 原则及事故过负荷能力，该变电站配置是否满足供…</t>
  </si>
  <si>
    <t>L2定义要求“单文档内多条内容简单推理”，但该题涉及 GB 38755-2019、DL/T 5429-2009，已构成跨规范综合。</t>
  </si>
  <si>
    <t>若保留跨文档依据，应调整为L3；若保留L2，应改写为同一规范内部多条文推理。</t>
  </si>
  <si>
    <t>Std/Q/A涉及规范：GB 38755-2019、DL/T 5429-2009。用户L2规则：无需多文档、多规范交叉。</t>
  </si>
  <si>
    <t>E-024</t>
  </si>
  <si>
    <t>L2-102</t>
  </si>
  <si>
    <t>Q: 【场景】某 500kV 变电站初期规划安装 1 台 1000MVA 主变压器，负责向一个大型工业区供电，该变电站 500kV 侧采用双母线接线。【问题】根据 DL/T 5218-2012，该变电站初期的主变压器台数配置是否合理？ / A: 不合理。逻辑推演：1. 依据 DL…</t>
  </si>
  <si>
    <t>L2定义要求“单文档内多条内容简单推理”，但该题涉及 GB 38755-2019、DL/T 5218-2012，已构成跨规范综合。</t>
  </si>
  <si>
    <t>Std/Q/A涉及规范：GB 38755-2019、DL/T 5218-2012。用户L2规则：无需多文档、多规范交叉。</t>
  </si>
  <si>
    <t>E-025</t>
  </si>
  <si>
    <t>L2-113</t>
  </si>
  <si>
    <t>Q: 【场景】某 220kV 变电站设计采用 2 台 180MVA 主变。该地区最大预测负荷为 180MW，\cos\phi=0.9。设计人员认为由于负荷正好等于单台容量，所以满足 N-1。【问题】请通过计算指出其逻辑错误。 / A: 逻辑错误在于忽略了功率因数。逻辑推演：1. …</t>
  </si>
  <si>
    <t>E-026</t>
  </si>
  <si>
    <t>L2-127</t>
  </si>
  <si>
    <t>Q: 【场景】某新建核电站（2×1000MW）接入 10000MW 负荷的电网。原事故备用为 800MW。设计院建议将事故备用调增至 1000MW。【问题】该建议是否完全满足规程要求？ / A: 不满足。逻辑推演：1. 依据 DL/T 5429 §5.2.3，事故备用不应小于系统…</t>
  </si>
  <si>
    <t>E-027</t>
  </si>
  <si>
    <t>L2-134</t>
  </si>
  <si>
    <t>Q: 【场景】某电网正常运行方式下 Kv 达到了 16%。【问题】根据 GB 38755，这一数值是否意味着系统极度安全？请从标准区间说明。 / A: 不一定。逻辑推演：1. 依据 GB 38755 §4.1.1，Kv 的标准区间是 10%~15%。2. 16% 超出了建议上限。…</t>
  </si>
  <si>
    <t>E-028</t>
  </si>
  <si>
    <t>L2-137</t>
  </si>
  <si>
    <t>Q: 【场景】某 220kV 分区电网在故障后运行方式下，Kp 为 11%，但电压变动超过了额定值的 10%。【问题】该运行方式是否达标？ / A: 不达标。逻辑推演：1. 依据 GB 38755 §4.1.2，Kp 虽满足 10% 的要求。2. 但依据 DL/T 5429 §6…</t>
  </si>
  <si>
    <t>E-029</t>
  </si>
  <si>
    <t>L2-138</t>
  </si>
  <si>
    <t>Q: 【场景】设计人员在规划时发现，某方案在丰水期正常方式下 Kp 仅为 14%，建议通过加装串补装置提高输电能力。【问题】请依据标准说明加装串补为何能提高 Kp。 / A: 串补能减小线路等效电抗，增大静稳极限。逻辑推演：1. Kp 计算公式涉及功率极限 P_m。2. 加装串补…</t>
  </si>
  <si>
    <t>E-030</t>
  </si>
  <si>
    <t>L2-140</t>
  </si>
  <si>
    <t>Q: 【场景】某省级电网在发生直流单极闭锁（属于第一级扰动）后，系统进入故障后运行方式。计算 Kp = 10.2%。【问题】判定该状态是否违规，并指出应采取何种措施。 / A: 不违规但裕度极低。逻辑推演：1. 依据 GB 38755 §4.1.2，故障后运行方式 Kp 下限为 …</t>
  </si>
  <si>
    <t>E-031</t>
  </si>
  <si>
    <t>L2-145</t>
  </si>
  <si>
    <t>Q: 【场景】某电网正常运行，Kp = 15%，Kv = 10%。恰逢此时系统频率从 50.0Hz 跌至 49.8Hz。设计人员认为稳定储备将失效。【问题】这种担忧是否基于标准的关联逻辑？ / A: 是。逻辑推演：1. 依据 GB 38755 §2.2，电力系统稳定分为功角、电压…</t>
  </si>
  <si>
    <t>E-032</t>
  </si>
  <si>
    <t>L2-155</t>
  </si>
  <si>
    <t>Q: 【场景】某 750kV 变电站站址位于地震烈度 8 度区。设计人员仅按 7 度进行了设防。【问题】该站址选择是否违反了 DL/T 5218 的强制性安全性逻辑？ / A: 是。逻辑推演：1. 依据 DL/T 5218 §3.0.5，站址应避开“地震断裂地带等不良地质构造”。…</t>
  </si>
  <si>
    <t>E-033</t>
  </si>
  <si>
    <t>L2-199</t>
  </si>
  <si>
    <t>Q: 【场景】某系统发生单相接地故障，重合成功。但由于系统中性点零序阻抗过大，导致非故障相电压过高，击穿了另一台变电站的绝缘。【问题】判定该事故性质。 / A: 属于第一级标准下的安全性失效。逻辑推演：1. 依据 GB 38755 §4.2.2 a) 款。2. 依据 DL/T 5…</t>
  </si>
  <si>
    <t>标定问题汇总</t>
  </si>
  <si>
    <t>指标</t>
  </si>
  <si>
    <t>数值</t>
  </si>
  <si>
    <t>说明</t>
  </si>
  <si>
    <t>解析到题目数</t>
  </si>
  <si>
    <t>从上传docx解析出的L1/L2/L3题目总数</t>
  </si>
  <si>
    <t>目标题目数</t>
  </si>
  <si>
    <t>用户要求总量：300个L层 + N/R独立测试40个</t>
  </si>
  <si>
    <t>缺失题目数</t>
  </si>
  <si>
    <t>应补N/R类</t>
  </si>
  <si>
    <t>问题清单条数</t>
  </si>
  <si>
    <t>本次标定整理的错误/问题记录</t>
  </si>
  <si>
    <t>高严重程度问题数</t>
  </si>
  <si>
    <t>需优先处理</t>
  </si>
  <si>
    <t>L2跨文档问题数</t>
  </si>
  <si>
    <t>L2应调整或改写</t>
  </si>
  <si>
    <t>L3跨规范不足/字段问题数</t>
  </si>
  <si>
    <t>L3需补足两份独立规范</t>
  </si>
  <si>
    <t>数量</t>
  </si>
  <si>
    <t>类别</t>
  </si>
  <si>
    <t>要求数量</t>
  </si>
  <si>
    <t>实际数量</t>
  </si>
  <si>
    <t>缺失/超出</t>
  </si>
  <si>
    <t>是否纳入L层准确率</t>
  </si>
  <si>
    <t>核查结论</t>
  </si>
  <si>
    <t>L1直白型</t>
  </si>
  <si>
    <t>L2推理型</t>
  </si>
  <si>
    <t>L3综合型</t>
  </si>
  <si>
    <t>N类独立测试</t>
  </si>
  <si>
    <t>否</t>
  </si>
  <si>
    <t>R类独立测试</t>
  </si>
  <si>
    <t>总计</t>
  </si>
  <si>
    <t>—</t>
  </si>
  <si>
    <t>字段</t>
  </si>
  <si>
    <t>本次标定清单的内部编号，便于沟通和追踪。</t>
  </si>
  <si>
    <t>对应原题ID或全局/类别问题。</t>
  </si>
  <si>
    <t>L1/L2/L3/N/R/全局。</t>
  </si>
  <si>
    <t>事实/条款、事实/答案、分层规则、数量/结构、格式/OCR等。</t>
  </si>
  <si>
    <t>高：会影响准确率或题目有效性；中：会影响可读性、条款定位或后续复核；低：轻微格式问题。</t>
  </si>
  <si>
    <t>高：已结合规范或规则核验；中：需要后续人工复查；低：提示性问题。</t>
  </si>
  <si>
    <t>N/R类按要求不纳入L层准确率统计；L1/L2/L3问题默认会影响对应层级统计。</t>
  </si>
  <si>
    <t>建议处理流程</t>
  </si>
  <si>
    <t>先修高严重程度问题，再重跑分层数量校验；对L1逐条回贴原文，对L2控制在单规范内，对L3确保至少两份独立规范。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</si>
</sst>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rlito"/>
      <charset val="134"/>
    </font>
    <font>
      <b/>
      <sz val="11"/>
      <color rgb="FFFFFFFF"/>
      <name val="Carlito"/>
      <charset val="134"/>
    </font>
    <font>
      <b/>
      <sz val="14"/>
      <color rgb="FFFFFFFF"/>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1F4E78"/>
        <bgColor indexed="64"/>
      </patternFill>
    </fill>
    <fill>
      <patternFill patternType="solid">
        <fgColor rgb="FF5B9BD5"/>
        <bgColor indexed="64"/>
      </patternFill>
    </fill>
    <fill>
      <patternFill patternType="solid">
        <fgColor rgb="FF70AD47"/>
        <bgColor indexed="64"/>
      </patternFill>
    </fill>
    <fill>
      <patternFill patternType="solid">
        <fgColor rgb="FFC55A1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Border="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6"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7" borderId="4" applyNumberFormat="0" applyAlignment="0" applyProtection="0">
      <alignment vertical="center"/>
    </xf>
    <xf numFmtId="0" fontId="13" fillId="8" borderId="5" applyNumberFormat="0" applyAlignment="0" applyProtection="0">
      <alignment vertical="center"/>
    </xf>
    <xf numFmtId="0" fontId="14" fillId="8" borderId="4" applyNumberFormat="0" applyAlignment="0" applyProtection="0">
      <alignment vertical="center"/>
    </xf>
    <xf numFmtId="0" fontId="15" fillId="9"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1" fillId="36" borderId="0" applyNumberFormat="0" applyBorder="0" applyAlignment="0" applyProtection="0">
      <alignment vertical="center"/>
    </xf>
    <xf numFmtId="0" fontId="0" fillId="0" borderId="0" applyBorder="0"/>
  </cellStyleXfs>
  <cellXfs count="9">
    <xf numFmtId="0" fontId="0" fillId="0" borderId="0" xfId="49"/>
    <xf numFmtId="0" fontId="1" fillId="2" borderId="0" xfId="49" applyNumberFormat="1" applyFont="1" applyFill="1" applyAlignment="1">
      <alignment horizontal="center" wrapText="1"/>
    </xf>
    <xf numFmtId="0" fontId="0" fillId="0" borderId="0" xfId="49" applyNumberFormat="1" applyFont="1" applyFill="1" applyAlignment="1">
      <alignment wrapText="1"/>
    </xf>
    <xf numFmtId="0" fontId="2" fillId="2" borderId="0" xfId="49" applyNumberFormat="1" applyFont="1" applyFill="1" applyAlignment="1">
      <alignment horizontal="center"/>
    </xf>
    <xf numFmtId="0" fontId="1" fillId="3" borderId="0" xfId="49" applyNumberFormat="1" applyFont="1" applyFill="1" applyAlignment="1">
      <alignment horizontal="center"/>
    </xf>
    <xf numFmtId="0" fontId="1" fillId="4" borderId="0" xfId="49" applyNumberFormat="1" applyFont="1" applyFill="1" applyAlignment="1">
      <alignment horizontal="center"/>
    </xf>
    <xf numFmtId="0" fontId="1" fillId="5" borderId="0" xfId="49" applyNumberFormat="1" applyFont="1" applyFill="1" applyAlignment="1">
      <alignment horizontal="center"/>
    </xf>
    <xf numFmtId="0" fontId="1" fillId="2" borderId="0" xfId="49" applyNumberFormat="1" applyFont="1" applyFill="1" applyAlignment="1">
      <alignment horizontal="center" vertical="center" wrapText="1"/>
    </xf>
    <xf numFmtId="0" fontId="0" fillId="0" borderId="0" xfId="49" applyNumberFormat="1" applyFont="1" applyFill="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9">
    <dxf>
      <font>
        <b val="1"/>
        <color rgb="FF990000"/>
      </font>
      <fill>
        <patternFill patternType="solid">
          <bgColor rgb="FFF4CCCC"/>
        </patternFill>
      </fill>
    </dxf>
    <dxf>
      <font>
        <color rgb="FF7F6000"/>
      </font>
      <fill>
        <patternFill patternType="solid">
          <bgColor rgb="FFFFF2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IssuesTable" displayName="IssuesTable" ref="A1:O33">
  <tableColumns count="15">
    <tableColumn id="1" name="问题编号"/>
    <tableColumn id="2" name="来源题号/范围"/>
    <tableColumn id="3" name="层级"/>
    <tableColumn id="4" name="问题大类"/>
    <tableColumn id="5" name="问题小类"/>
    <tableColumn id="6" name="严重程度"/>
    <tableColumn id="7" name="置信度"/>
    <tableColumn id="8" name="原始问题摘录"/>
    <tableColumn id="9" name="标定发现的问题"/>
    <tableColumn id="10" name="建议修改/处理"/>
    <tableColumn id="11" name="核查依据/证据"/>
    <tableColumn id="12" name="源文件"/>
    <tableColumn id="13" name="是否计入L层准确率"/>
    <tableColumn id="14" name="处理状态"/>
    <tableColumn id="15" name="备注"/>
  </tableColumns>
  <tableStyleInfo name="TableStyleMedium2" showFirstColumn="0" showLastColumn="0" showRowStripes="1" showColumnStripes="0"/>
</table>
</file>

<file path=xl/tables/table2.xml><?xml version="1.0" encoding="utf-8"?>
<table xmlns="http://schemas.openxmlformats.org/spreadsheetml/2006/main" id="2" name="LayerCheckTable" displayName="LayerCheckTable" ref="A1:F7">
  <tableColumns count="6">
    <tableColumn id="1" name="类别"/>
    <tableColumn id="2" name="要求数量"/>
    <tableColumn id="3" name="实际数量"/>
    <tableColumn id="4" name="缺失/超出"/>
    <tableColumn id="5" name="是否纳入L层准确率"/>
    <tableColumn id="6" name="核查结论"/>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67"/>
  <sheetViews>
    <sheetView tabSelected="1" topLeftCell="C13" workbookViewId="0">
      <selection activeCell="I19" sqref="I19"/>
    </sheetView>
  </sheetViews>
  <sheetFormatPr defaultColWidth="9.64166666666667" defaultRowHeight="13.65"/>
  <cols>
    <col min="1" max="1" width="12" customWidth="1"/>
    <col min="2" max="2" width="18" customWidth="1"/>
    <col min="3" max="3" width="8" customWidth="1"/>
    <col min="4" max="4" width="14" customWidth="1"/>
    <col min="5" max="5" width="22" customWidth="1"/>
    <col min="6" max="7" width="10" customWidth="1"/>
    <col min="8" max="8" width="36" customWidth="1"/>
    <col min="9" max="9" width="50" customWidth="1"/>
    <col min="10" max="10" width="45" customWidth="1"/>
    <col min="11" max="11" width="42" customWidth="1"/>
    <col min="12" max="12" width="28" customWidth="1"/>
    <col min="13" max="13" width="18" customWidth="1"/>
    <col min="14" max="14" width="12" customWidth="1"/>
    <col min="15" max="15" width="30" customWidth="1"/>
  </cols>
  <sheetData>
    <row r="1" ht="28" customHeight="1" spans="1:15">
      <c r="A1" s="7" t="s">
        <v>0</v>
      </c>
      <c r="B1" s="7" t="s">
        <v>1</v>
      </c>
      <c r="C1" s="7" t="s">
        <v>2</v>
      </c>
      <c r="D1" s="7" t="s">
        <v>3</v>
      </c>
      <c r="E1" s="7" t="s">
        <v>4</v>
      </c>
      <c r="F1" s="7" t="s">
        <v>5</v>
      </c>
      <c r="G1" s="7" t="s">
        <v>6</v>
      </c>
      <c r="H1" s="7" t="s">
        <v>7</v>
      </c>
      <c r="I1" s="7" t="s">
        <v>8</v>
      </c>
      <c r="J1" s="7" t="s">
        <v>9</v>
      </c>
      <c r="K1" s="7" t="s">
        <v>10</v>
      </c>
      <c r="L1" s="7" t="s">
        <v>11</v>
      </c>
      <c r="M1" s="7" t="s">
        <v>12</v>
      </c>
      <c r="N1" s="7" t="s">
        <v>13</v>
      </c>
      <c r="O1" s="7" t="s">
        <v>14</v>
      </c>
    </row>
    <row r="2" ht="60" customHeight="1" spans="1:15">
      <c r="A2" s="8" t="s">
        <v>15</v>
      </c>
      <c r="B2" s="8" t="s">
        <v>16</v>
      </c>
      <c r="C2" s="8" t="s">
        <v>17</v>
      </c>
      <c r="D2" s="8" t="s">
        <v>18</v>
      </c>
      <c r="E2" s="8" t="s">
        <v>19</v>
      </c>
      <c r="F2" s="8" t="s">
        <v>20</v>
      </c>
      <c r="G2" s="8" t="s">
        <v>20</v>
      </c>
      <c r="H2" s="8" t="s">
        <v>21</v>
      </c>
      <c r="I2" s="8" t="s">
        <v>22</v>
      </c>
      <c r="J2" s="8" t="s">
        <v>23</v>
      </c>
      <c r="K2" s="8" t="s">
        <v>24</v>
      </c>
      <c r="L2" s="8" t="s">
        <v>25</v>
      </c>
      <c r="M2" s="8" t="s">
        <v>26</v>
      </c>
      <c r="N2" s="8" t="s">
        <v>27</v>
      </c>
      <c r="O2" s="8" t="s">
        <v>21</v>
      </c>
    </row>
    <row r="3" ht="60" customHeight="1" spans="1:15">
      <c r="A3" s="8" t="s">
        <v>28</v>
      </c>
      <c r="B3" s="8" t="s">
        <v>29</v>
      </c>
      <c r="C3" s="8" t="s">
        <v>30</v>
      </c>
      <c r="D3" s="8" t="s">
        <v>18</v>
      </c>
      <c r="E3" s="8" t="s">
        <v>19</v>
      </c>
      <c r="F3" s="8" t="s">
        <v>20</v>
      </c>
      <c r="G3" s="8" t="s">
        <v>20</v>
      </c>
      <c r="H3" s="8" t="s">
        <v>21</v>
      </c>
      <c r="I3" s="8" t="s">
        <v>31</v>
      </c>
      <c r="J3" s="8" t="s">
        <v>32</v>
      </c>
      <c r="K3" s="8" t="s">
        <v>24</v>
      </c>
      <c r="L3" s="8" t="s">
        <v>25</v>
      </c>
      <c r="M3" s="8" t="s">
        <v>26</v>
      </c>
      <c r="N3" s="8" t="s">
        <v>27</v>
      </c>
      <c r="O3" s="8" t="s">
        <v>21</v>
      </c>
    </row>
    <row r="4" ht="60" customHeight="1" spans="1:15">
      <c r="A4" s="8" t="s">
        <v>33</v>
      </c>
      <c r="B4" s="8" t="s">
        <v>34</v>
      </c>
      <c r="C4" s="8" t="s">
        <v>34</v>
      </c>
      <c r="D4" s="8" t="s">
        <v>35</v>
      </c>
      <c r="E4" s="8" t="s">
        <v>36</v>
      </c>
      <c r="F4" s="8" t="s">
        <v>37</v>
      </c>
      <c r="G4" s="8" t="s">
        <v>20</v>
      </c>
      <c r="H4" s="8" t="s">
        <v>21</v>
      </c>
      <c r="I4" s="8" t="s">
        <v>38</v>
      </c>
      <c r="J4" s="8" t="s">
        <v>39</v>
      </c>
      <c r="K4" s="8" t="s">
        <v>40</v>
      </c>
      <c r="L4" s="8" t="s">
        <v>25</v>
      </c>
      <c r="M4" s="8" t="s">
        <v>41</v>
      </c>
      <c r="N4" s="8" t="s">
        <v>27</v>
      </c>
      <c r="O4" s="8" t="s">
        <v>21</v>
      </c>
    </row>
    <row r="5" ht="60" customHeight="1" spans="1:15">
      <c r="A5" s="8" t="s">
        <v>42</v>
      </c>
      <c r="B5" s="8" t="s">
        <v>34</v>
      </c>
      <c r="C5" s="8" t="s">
        <v>34</v>
      </c>
      <c r="D5" s="8" t="s">
        <v>43</v>
      </c>
      <c r="E5" s="8" t="s">
        <v>44</v>
      </c>
      <c r="F5" s="8" t="s">
        <v>20</v>
      </c>
      <c r="G5" s="8" t="s">
        <v>20</v>
      </c>
      <c r="H5" s="8" t="s">
        <v>21</v>
      </c>
      <c r="I5" s="8" t="s">
        <v>45</v>
      </c>
      <c r="J5" s="8" t="s">
        <v>46</v>
      </c>
      <c r="K5" s="8" t="s">
        <v>47</v>
      </c>
      <c r="L5" s="8" t="s">
        <v>25</v>
      </c>
      <c r="M5" s="8" t="s">
        <v>41</v>
      </c>
      <c r="N5" s="8" t="s">
        <v>27</v>
      </c>
      <c r="O5" s="8" t="s">
        <v>21</v>
      </c>
    </row>
    <row r="6" ht="60" customHeight="1" spans="1:15">
      <c r="A6" s="8" t="s">
        <v>48</v>
      </c>
      <c r="B6" s="8" t="s">
        <v>34</v>
      </c>
      <c r="C6" s="8" t="s">
        <v>34</v>
      </c>
      <c r="D6" s="8" t="s">
        <v>49</v>
      </c>
      <c r="E6" s="8" t="s">
        <v>50</v>
      </c>
      <c r="F6" s="8" t="s">
        <v>20</v>
      </c>
      <c r="G6" s="8" t="s">
        <v>20</v>
      </c>
      <c r="H6" s="8" t="s">
        <v>21</v>
      </c>
      <c r="I6" s="8" t="s">
        <v>51</v>
      </c>
      <c r="J6" s="8" t="s">
        <v>52</v>
      </c>
      <c r="K6" s="8" t="s">
        <v>53</v>
      </c>
      <c r="L6" s="8" t="s">
        <v>25</v>
      </c>
      <c r="M6" s="8" t="s">
        <v>41</v>
      </c>
      <c r="N6" s="8" t="s">
        <v>27</v>
      </c>
      <c r="O6" s="8" t="s">
        <v>21</v>
      </c>
    </row>
    <row r="7" ht="60" customHeight="1" spans="1:15">
      <c r="A7" s="8" t="s">
        <v>54</v>
      </c>
      <c r="B7" s="8" t="s">
        <v>55</v>
      </c>
      <c r="C7" s="8" t="s">
        <v>56</v>
      </c>
      <c r="D7" s="8" t="s">
        <v>57</v>
      </c>
      <c r="E7" s="8" t="s">
        <v>58</v>
      </c>
      <c r="F7" s="8" t="s">
        <v>20</v>
      </c>
      <c r="G7" s="8" t="s">
        <v>20</v>
      </c>
      <c r="H7" s="8" t="s">
        <v>59</v>
      </c>
      <c r="I7" s="8" t="s">
        <v>60</v>
      </c>
      <c r="J7" s="8" t="s">
        <v>61</v>
      </c>
      <c r="K7" s="8" t="s">
        <v>62</v>
      </c>
      <c r="L7" s="8" t="s">
        <v>25</v>
      </c>
      <c r="M7" s="8" t="s">
        <v>41</v>
      </c>
      <c r="N7" s="8" t="s">
        <v>27</v>
      </c>
      <c r="O7" s="8" t="s">
        <v>21</v>
      </c>
    </row>
    <row r="8" ht="60" customHeight="1" spans="1:15">
      <c r="A8" s="8" t="s">
        <v>63</v>
      </c>
      <c r="B8" s="8" t="s">
        <v>64</v>
      </c>
      <c r="C8" s="8" t="s">
        <v>56</v>
      </c>
      <c r="D8" s="8" t="s">
        <v>65</v>
      </c>
      <c r="E8" s="8" t="s">
        <v>66</v>
      </c>
      <c r="F8" s="8" t="s">
        <v>20</v>
      </c>
      <c r="G8" s="8" t="s">
        <v>20</v>
      </c>
      <c r="H8" s="8" t="s">
        <v>67</v>
      </c>
      <c r="I8" s="8" t="s">
        <v>68</v>
      </c>
      <c r="J8" s="8" t="s">
        <v>69</v>
      </c>
      <c r="K8" s="8" t="s">
        <v>70</v>
      </c>
      <c r="L8" s="8" t="s">
        <v>25</v>
      </c>
      <c r="M8" s="8" t="s">
        <v>41</v>
      </c>
      <c r="N8" s="8" t="s">
        <v>27</v>
      </c>
      <c r="O8" s="8" t="s">
        <v>21</v>
      </c>
    </row>
    <row r="9" ht="60" customHeight="1" spans="1:15">
      <c r="A9" s="8" t="s">
        <v>71</v>
      </c>
      <c r="B9" s="8" t="s">
        <v>72</v>
      </c>
      <c r="C9" s="8" t="s">
        <v>56</v>
      </c>
      <c r="D9" s="8" t="s">
        <v>43</v>
      </c>
      <c r="E9" s="8" t="s">
        <v>73</v>
      </c>
      <c r="F9" s="8" t="s">
        <v>20</v>
      </c>
      <c r="G9" s="8" t="s">
        <v>20</v>
      </c>
      <c r="H9" s="8" t="s">
        <v>74</v>
      </c>
      <c r="I9" s="8" t="s">
        <v>75</v>
      </c>
      <c r="J9" s="8" t="s">
        <v>76</v>
      </c>
      <c r="K9" s="8" t="s">
        <v>77</v>
      </c>
      <c r="L9" s="8" t="s">
        <v>25</v>
      </c>
      <c r="M9" s="8" t="s">
        <v>41</v>
      </c>
      <c r="N9" s="8" t="s">
        <v>27</v>
      </c>
      <c r="O9" s="8" t="s">
        <v>21</v>
      </c>
    </row>
    <row r="10" ht="60" customHeight="1" spans="1:15">
      <c r="A10" s="8" t="s">
        <v>78</v>
      </c>
      <c r="B10" s="8" t="s">
        <v>79</v>
      </c>
      <c r="C10" s="8" t="s">
        <v>56</v>
      </c>
      <c r="D10" s="8" t="s">
        <v>43</v>
      </c>
      <c r="E10" s="8" t="s">
        <v>73</v>
      </c>
      <c r="F10" s="8" t="s">
        <v>20</v>
      </c>
      <c r="G10" s="8" t="s">
        <v>20</v>
      </c>
      <c r="H10" s="8" t="s">
        <v>80</v>
      </c>
      <c r="I10" s="8" t="s">
        <v>81</v>
      </c>
      <c r="J10" s="8" t="s">
        <v>82</v>
      </c>
      <c r="K10" s="8" t="s">
        <v>83</v>
      </c>
      <c r="L10" s="8" t="s">
        <v>25</v>
      </c>
      <c r="M10" s="8" t="s">
        <v>41</v>
      </c>
      <c r="N10" s="8" t="s">
        <v>27</v>
      </c>
      <c r="O10" s="8" t="s">
        <v>21</v>
      </c>
    </row>
    <row r="11" ht="60" customHeight="1" spans="1:15">
      <c r="A11" s="8" t="s">
        <v>84</v>
      </c>
      <c r="B11" s="8" t="s">
        <v>85</v>
      </c>
      <c r="C11" s="8" t="s">
        <v>56</v>
      </c>
      <c r="D11" s="8" t="s">
        <v>43</v>
      </c>
      <c r="E11" s="8" t="s">
        <v>73</v>
      </c>
      <c r="F11" s="8" t="s">
        <v>20</v>
      </c>
      <c r="G11" s="8" t="s">
        <v>20</v>
      </c>
      <c r="H11" s="8" t="s">
        <v>86</v>
      </c>
      <c r="I11" s="8" t="s">
        <v>87</v>
      </c>
      <c r="J11" s="8" t="s">
        <v>88</v>
      </c>
      <c r="K11" s="8" t="s">
        <v>83</v>
      </c>
      <c r="L11" s="8" t="s">
        <v>25</v>
      </c>
      <c r="M11" s="8" t="s">
        <v>41</v>
      </c>
      <c r="N11" s="8" t="s">
        <v>27</v>
      </c>
      <c r="O11" s="8" t="s">
        <v>21</v>
      </c>
    </row>
    <row r="12" ht="60" customHeight="1" spans="1:15">
      <c r="A12" s="8" t="s">
        <v>89</v>
      </c>
      <c r="B12" s="8" t="s">
        <v>90</v>
      </c>
      <c r="C12" s="8" t="s">
        <v>56</v>
      </c>
      <c r="D12" s="8" t="s">
        <v>43</v>
      </c>
      <c r="E12" s="8" t="s">
        <v>73</v>
      </c>
      <c r="F12" s="8" t="s">
        <v>20</v>
      </c>
      <c r="G12" s="8" t="s">
        <v>20</v>
      </c>
      <c r="H12" s="8" t="s">
        <v>91</v>
      </c>
      <c r="I12" s="8" t="s">
        <v>92</v>
      </c>
      <c r="J12" s="8" t="s">
        <v>93</v>
      </c>
      <c r="K12" s="8" t="s">
        <v>94</v>
      </c>
      <c r="L12" s="8" t="s">
        <v>25</v>
      </c>
      <c r="M12" s="8" t="s">
        <v>41</v>
      </c>
      <c r="N12" s="8" t="s">
        <v>27</v>
      </c>
      <c r="O12" s="8" t="s">
        <v>21</v>
      </c>
    </row>
    <row r="13" ht="60" customHeight="1" spans="1:15">
      <c r="A13" s="8" t="s">
        <v>95</v>
      </c>
      <c r="B13" s="8" t="s">
        <v>96</v>
      </c>
      <c r="C13" s="8" t="s">
        <v>56</v>
      </c>
      <c r="D13" s="8" t="s">
        <v>43</v>
      </c>
      <c r="E13" s="8" t="s">
        <v>73</v>
      </c>
      <c r="F13" s="8" t="s">
        <v>20</v>
      </c>
      <c r="G13" s="8" t="s">
        <v>20</v>
      </c>
      <c r="H13" s="8" t="s">
        <v>97</v>
      </c>
      <c r="I13" s="8" t="s">
        <v>98</v>
      </c>
      <c r="J13" s="8" t="s">
        <v>99</v>
      </c>
      <c r="K13" s="8" t="s">
        <v>100</v>
      </c>
      <c r="L13" s="8" t="s">
        <v>25</v>
      </c>
      <c r="M13" s="8" t="s">
        <v>41</v>
      </c>
      <c r="N13" s="8" t="s">
        <v>27</v>
      </c>
      <c r="O13" s="8" t="s">
        <v>21</v>
      </c>
    </row>
    <row r="14" ht="60" customHeight="1" spans="1:15">
      <c r="A14" s="8" t="s">
        <v>101</v>
      </c>
      <c r="B14" s="8" t="s">
        <v>102</v>
      </c>
      <c r="C14" s="8" t="s">
        <v>56</v>
      </c>
      <c r="D14" s="8" t="s">
        <v>57</v>
      </c>
      <c r="E14" s="8" t="s">
        <v>103</v>
      </c>
      <c r="F14" s="8" t="s">
        <v>37</v>
      </c>
      <c r="G14" s="8" t="s">
        <v>20</v>
      </c>
      <c r="H14" s="8" t="s">
        <v>104</v>
      </c>
      <c r="I14" s="8" t="s">
        <v>105</v>
      </c>
      <c r="J14" s="8" t="s">
        <v>106</v>
      </c>
      <c r="K14" s="8" t="s">
        <v>107</v>
      </c>
      <c r="L14" s="8" t="s">
        <v>25</v>
      </c>
      <c r="M14" s="8" t="s">
        <v>41</v>
      </c>
      <c r="N14" s="8" t="s">
        <v>27</v>
      </c>
      <c r="O14" s="8" t="s">
        <v>21</v>
      </c>
    </row>
    <row r="15" ht="60" customHeight="1" spans="1:15">
      <c r="A15" s="8" t="s">
        <v>108</v>
      </c>
      <c r="B15" s="8" t="s">
        <v>109</v>
      </c>
      <c r="C15" s="8" t="s">
        <v>56</v>
      </c>
      <c r="D15" s="8" t="s">
        <v>65</v>
      </c>
      <c r="E15" s="8" t="s">
        <v>110</v>
      </c>
      <c r="F15" s="8" t="s">
        <v>37</v>
      </c>
      <c r="G15" s="8" t="s">
        <v>20</v>
      </c>
      <c r="H15" s="8" t="s">
        <v>111</v>
      </c>
      <c r="I15" s="8" t="s">
        <v>112</v>
      </c>
      <c r="J15" s="8" t="s">
        <v>113</v>
      </c>
      <c r="K15" s="8" t="s">
        <v>114</v>
      </c>
      <c r="L15" s="8" t="s">
        <v>25</v>
      </c>
      <c r="M15" s="8" t="s">
        <v>41</v>
      </c>
      <c r="N15" s="8" t="s">
        <v>27</v>
      </c>
      <c r="O15" s="8" t="s">
        <v>21</v>
      </c>
    </row>
    <row r="16" ht="60" customHeight="1" spans="1:15">
      <c r="A16" s="8" t="s">
        <v>115</v>
      </c>
      <c r="B16" s="8" t="s">
        <v>116</v>
      </c>
      <c r="C16" s="8" t="s">
        <v>56</v>
      </c>
      <c r="D16" s="8" t="s">
        <v>65</v>
      </c>
      <c r="E16" s="8" t="s">
        <v>117</v>
      </c>
      <c r="F16" s="8" t="s">
        <v>20</v>
      </c>
      <c r="G16" s="8" t="s">
        <v>20</v>
      </c>
      <c r="H16" s="8" t="s">
        <v>118</v>
      </c>
      <c r="I16" s="8" t="s">
        <v>119</v>
      </c>
      <c r="J16" s="8" t="s">
        <v>120</v>
      </c>
      <c r="K16" s="8" t="s">
        <v>121</v>
      </c>
      <c r="L16" s="8" t="s">
        <v>25</v>
      </c>
      <c r="M16" s="8" t="s">
        <v>41</v>
      </c>
      <c r="N16" s="8" t="s">
        <v>27</v>
      </c>
      <c r="O16" s="8" t="s">
        <v>21</v>
      </c>
    </row>
    <row r="17" ht="60" customHeight="1" spans="1:15">
      <c r="A17" s="8" t="s">
        <v>122</v>
      </c>
      <c r="B17" s="8" t="s">
        <v>123</v>
      </c>
      <c r="C17" s="8" t="s">
        <v>56</v>
      </c>
      <c r="D17" s="8" t="s">
        <v>65</v>
      </c>
      <c r="E17" s="8" t="s">
        <v>124</v>
      </c>
      <c r="F17" s="8" t="s">
        <v>20</v>
      </c>
      <c r="G17" s="8" t="s">
        <v>20</v>
      </c>
      <c r="H17" s="8" t="s">
        <v>125</v>
      </c>
      <c r="I17" s="8" t="s">
        <v>126</v>
      </c>
      <c r="J17" s="8" t="s">
        <v>127</v>
      </c>
      <c r="K17" s="8" t="s">
        <v>128</v>
      </c>
      <c r="L17" s="8" t="s">
        <v>25</v>
      </c>
      <c r="M17" s="8" t="s">
        <v>41</v>
      </c>
      <c r="N17" s="8" t="s">
        <v>27</v>
      </c>
      <c r="O17" s="8" t="s">
        <v>21</v>
      </c>
    </row>
    <row r="18" ht="60" customHeight="1" spans="1:15">
      <c r="A18" s="8" t="s">
        <v>129</v>
      </c>
      <c r="B18" s="8" t="s">
        <v>130</v>
      </c>
      <c r="C18" s="8" t="s">
        <v>56</v>
      </c>
      <c r="D18" s="8" t="s">
        <v>65</v>
      </c>
      <c r="E18" s="8" t="s">
        <v>131</v>
      </c>
      <c r="F18" s="8" t="s">
        <v>37</v>
      </c>
      <c r="G18" s="8" t="s">
        <v>20</v>
      </c>
      <c r="H18" s="8" t="s">
        <v>132</v>
      </c>
      <c r="I18" s="8" t="s">
        <v>133</v>
      </c>
      <c r="J18" s="8" t="s">
        <v>134</v>
      </c>
      <c r="K18" s="8" t="s">
        <v>135</v>
      </c>
      <c r="L18" s="8" t="s">
        <v>25</v>
      </c>
      <c r="M18" s="8" t="s">
        <v>41</v>
      </c>
      <c r="N18" s="8" t="s">
        <v>27</v>
      </c>
      <c r="O18" s="8" t="s">
        <v>21</v>
      </c>
    </row>
    <row r="19" ht="60" customHeight="1" spans="1:15">
      <c r="A19" s="8" t="s">
        <v>136</v>
      </c>
      <c r="B19" s="8" t="s">
        <v>137</v>
      </c>
      <c r="C19" s="8" t="s">
        <v>56</v>
      </c>
      <c r="D19" s="8" t="s">
        <v>65</v>
      </c>
      <c r="E19" s="8" t="s">
        <v>124</v>
      </c>
      <c r="F19" s="8" t="s">
        <v>37</v>
      </c>
      <c r="G19" s="8" t="s">
        <v>20</v>
      </c>
      <c r="H19" s="8" t="s">
        <v>138</v>
      </c>
      <c r="I19" s="8" t="s">
        <v>139</v>
      </c>
      <c r="J19" s="8" t="s">
        <v>140</v>
      </c>
      <c r="K19" s="8" t="s">
        <v>141</v>
      </c>
      <c r="L19" s="8" t="s">
        <v>25</v>
      </c>
      <c r="M19" s="8" t="s">
        <v>41</v>
      </c>
      <c r="N19" s="8" t="s">
        <v>27</v>
      </c>
      <c r="O19" s="8" t="s">
        <v>21</v>
      </c>
    </row>
    <row r="20" ht="60" customHeight="1" spans="1:15">
      <c r="A20" s="8" t="s">
        <v>142</v>
      </c>
      <c r="B20" s="8" t="s">
        <v>143</v>
      </c>
      <c r="C20" s="8" t="s">
        <v>144</v>
      </c>
      <c r="D20" s="8" t="s">
        <v>145</v>
      </c>
      <c r="E20" s="8" t="s">
        <v>146</v>
      </c>
      <c r="F20" s="8" t="s">
        <v>37</v>
      </c>
      <c r="G20" s="8" t="s">
        <v>20</v>
      </c>
      <c r="H20" s="8" t="s">
        <v>147</v>
      </c>
      <c r="I20" s="8" t="s">
        <v>148</v>
      </c>
      <c r="J20" s="8" t="s">
        <v>149</v>
      </c>
      <c r="K20" s="8" t="s">
        <v>150</v>
      </c>
      <c r="L20" s="8" t="s">
        <v>25</v>
      </c>
      <c r="M20" s="8" t="s">
        <v>41</v>
      </c>
      <c r="N20" s="8" t="s">
        <v>27</v>
      </c>
      <c r="O20" s="8" t="s">
        <v>21</v>
      </c>
    </row>
    <row r="21" ht="60" customHeight="1" spans="1:15">
      <c r="A21" s="8" t="s">
        <v>151</v>
      </c>
      <c r="B21" s="8" t="s">
        <v>152</v>
      </c>
      <c r="C21" s="8" t="s">
        <v>144</v>
      </c>
      <c r="D21" s="8" t="s">
        <v>57</v>
      </c>
      <c r="E21" s="8" t="s">
        <v>153</v>
      </c>
      <c r="F21" s="8" t="s">
        <v>20</v>
      </c>
      <c r="G21" s="8" t="s">
        <v>20</v>
      </c>
      <c r="H21" s="8" t="s">
        <v>154</v>
      </c>
      <c r="I21" s="8" t="s">
        <v>155</v>
      </c>
      <c r="J21" s="8" t="s">
        <v>156</v>
      </c>
      <c r="K21" s="8" t="s">
        <v>157</v>
      </c>
      <c r="L21" s="8" t="s">
        <v>25</v>
      </c>
      <c r="M21" s="8" t="s">
        <v>41</v>
      </c>
      <c r="N21" s="8" t="s">
        <v>27</v>
      </c>
      <c r="O21" s="8" t="s">
        <v>21</v>
      </c>
    </row>
    <row r="22" ht="60" customHeight="1" spans="1:15">
      <c r="A22" s="8" t="s">
        <v>158</v>
      </c>
      <c r="B22" s="8" t="s">
        <v>159</v>
      </c>
      <c r="C22" s="8" t="s">
        <v>144</v>
      </c>
      <c r="D22" s="8" t="s">
        <v>65</v>
      </c>
      <c r="E22" s="8" t="s">
        <v>160</v>
      </c>
      <c r="F22" s="8" t="s">
        <v>20</v>
      </c>
      <c r="G22" s="8" t="s">
        <v>20</v>
      </c>
      <c r="H22" s="8" t="s">
        <v>161</v>
      </c>
      <c r="I22" s="8" t="s">
        <v>162</v>
      </c>
      <c r="J22" s="8" t="s">
        <v>163</v>
      </c>
      <c r="K22" s="8" t="s">
        <v>164</v>
      </c>
      <c r="L22" s="8" t="s">
        <v>25</v>
      </c>
      <c r="M22" s="8" t="s">
        <v>41</v>
      </c>
      <c r="N22" s="8" t="s">
        <v>27</v>
      </c>
      <c r="O22" s="8" t="s">
        <v>21</v>
      </c>
    </row>
    <row r="23" ht="60" customHeight="1" spans="1:15">
      <c r="A23" s="8" t="s">
        <v>165</v>
      </c>
      <c r="B23" s="8" t="s">
        <v>166</v>
      </c>
      <c r="C23" s="8" t="s">
        <v>144</v>
      </c>
      <c r="D23" s="8" t="s">
        <v>167</v>
      </c>
      <c r="E23" s="8" t="s">
        <v>168</v>
      </c>
      <c r="F23" s="8" t="s">
        <v>20</v>
      </c>
      <c r="G23" s="8" t="s">
        <v>20</v>
      </c>
      <c r="H23" s="8" t="s">
        <v>169</v>
      </c>
      <c r="I23" s="8" t="s">
        <v>170</v>
      </c>
      <c r="J23" s="8" t="s">
        <v>171</v>
      </c>
      <c r="K23" s="8" t="s">
        <v>172</v>
      </c>
      <c r="L23" s="8" t="s">
        <v>25</v>
      </c>
      <c r="M23" s="8" t="s">
        <v>41</v>
      </c>
      <c r="N23" s="8" t="s">
        <v>27</v>
      </c>
      <c r="O23" s="8" t="s">
        <v>21</v>
      </c>
    </row>
    <row r="24" ht="60" customHeight="1" spans="1:15">
      <c r="A24" s="8" t="s">
        <v>173</v>
      </c>
      <c r="B24" s="8" t="s">
        <v>174</v>
      </c>
      <c r="C24" s="8" t="s">
        <v>144</v>
      </c>
      <c r="D24" s="8" t="s">
        <v>167</v>
      </c>
      <c r="E24" s="8" t="s">
        <v>168</v>
      </c>
      <c r="F24" s="8" t="s">
        <v>20</v>
      </c>
      <c r="G24" s="8" t="s">
        <v>20</v>
      </c>
      <c r="H24" s="8" t="s">
        <v>175</v>
      </c>
      <c r="I24" s="8" t="s">
        <v>176</v>
      </c>
      <c r="J24" s="8" t="s">
        <v>171</v>
      </c>
      <c r="K24" s="8" t="s">
        <v>177</v>
      </c>
      <c r="L24" s="8" t="s">
        <v>25</v>
      </c>
      <c r="M24" s="8" t="s">
        <v>41</v>
      </c>
      <c r="N24" s="8" t="s">
        <v>27</v>
      </c>
      <c r="O24" s="8" t="s">
        <v>21</v>
      </c>
    </row>
    <row r="25" ht="60" customHeight="1" spans="1:15">
      <c r="A25" s="8" t="s">
        <v>178</v>
      </c>
      <c r="B25" s="8" t="s">
        <v>179</v>
      </c>
      <c r="C25" s="8" t="s">
        <v>144</v>
      </c>
      <c r="D25" s="8" t="s">
        <v>167</v>
      </c>
      <c r="E25" s="8" t="s">
        <v>168</v>
      </c>
      <c r="F25" s="8" t="s">
        <v>20</v>
      </c>
      <c r="G25" s="8" t="s">
        <v>20</v>
      </c>
      <c r="H25" s="8" t="s">
        <v>180</v>
      </c>
      <c r="I25" s="8" t="s">
        <v>170</v>
      </c>
      <c r="J25" s="8" t="s">
        <v>171</v>
      </c>
      <c r="K25" s="8" t="s">
        <v>172</v>
      </c>
      <c r="L25" s="8" t="s">
        <v>25</v>
      </c>
      <c r="M25" s="8" t="s">
        <v>41</v>
      </c>
      <c r="N25" s="8" t="s">
        <v>27</v>
      </c>
      <c r="O25" s="8" t="s">
        <v>21</v>
      </c>
    </row>
    <row r="26" ht="60" customHeight="1" spans="1:15">
      <c r="A26" s="8" t="s">
        <v>181</v>
      </c>
      <c r="B26" s="8" t="s">
        <v>182</v>
      </c>
      <c r="C26" s="8" t="s">
        <v>144</v>
      </c>
      <c r="D26" s="8" t="s">
        <v>167</v>
      </c>
      <c r="E26" s="8" t="s">
        <v>168</v>
      </c>
      <c r="F26" s="8" t="s">
        <v>20</v>
      </c>
      <c r="G26" s="8" t="s">
        <v>20</v>
      </c>
      <c r="H26" s="8" t="s">
        <v>183</v>
      </c>
      <c r="I26" s="8" t="s">
        <v>170</v>
      </c>
      <c r="J26" s="8" t="s">
        <v>171</v>
      </c>
      <c r="K26" s="8" t="s">
        <v>172</v>
      </c>
      <c r="L26" s="8" t="s">
        <v>25</v>
      </c>
      <c r="M26" s="8" t="s">
        <v>41</v>
      </c>
      <c r="N26" s="8" t="s">
        <v>27</v>
      </c>
      <c r="O26" s="8" t="s">
        <v>21</v>
      </c>
    </row>
    <row r="27" ht="60" customHeight="1" spans="1:15">
      <c r="A27" s="8" t="s">
        <v>184</v>
      </c>
      <c r="B27" s="8" t="s">
        <v>185</v>
      </c>
      <c r="C27" s="8" t="s">
        <v>144</v>
      </c>
      <c r="D27" s="8" t="s">
        <v>167</v>
      </c>
      <c r="E27" s="8" t="s">
        <v>168</v>
      </c>
      <c r="F27" s="8" t="s">
        <v>20</v>
      </c>
      <c r="G27" s="8" t="s">
        <v>20</v>
      </c>
      <c r="H27" s="8" t="s">
        <v>186</v>
      </c>
      <c r="I27" s="8" t="s">
        <v>170</v>
      </c>
      <c r="J27" s="8" t="s">
        <v>171</v>
      </c>
      <c r="K27" s="8" t="s">
        <v>172</v>
      </c>
      <c r="L27" s="8" t="s">
        <v>25</v>
      </c>
      <c r="M27" s="8" t="s">
        <v>41</v>
      </c>
      <c r="N27" s="8" t="s">
        <v>27</v>
      </c>
      <c r="O27" s="8" t="s">
        <v>21</v>
      </c>
    </row>
    <row r="28" ht="60" customHeight="1" spans="1:15">
      <c r="A28" s="8" t="s">
        <v>187</v>
      </c>
      <c r="B28" s="8" t="s">
        <v>188</v>
      </c>
      <c r="C28" s="8" t="s">
        <v>144</v>
      </c>
      <c r="D28" s="8" t="s">
        <v>167</v>
      </c>
      <c r="E28" s="8" t="s">
        <v>168</v>
      </c>
      <c r="F28" s="8" t="s">
        <v>20</v>
      </c>
      <c r="G28" s="8" t="s">
        <v>20</v>
      </c>
      <c r="H28" s="8" t="s">
        <v>189</v>
      </c>
      <c r="I28" s="8" t="s">
        <v>170</v>
      </c>
      <c r="J28" s="8" t="s">
        <v>171</v>
      </c>
      <c r="K28" s="8" t="s">
        <v>172</v>
      </c>
      <c r="L28" s="8" t="s">
        <v>25</v>
      </c>
      <c r="M28" s="8" t="s">
        <v>41</v>
      </c>
      <c r="N28" s="8" t="s">
        <v>27</v>
      </c>
      <c r="O28" s="8" t="s">
        <v>21</v>
      </c>
    </row>
    <row r="29" ht="60" customHeight="1" spans="1:15">
      <c r="A29" s="8" t="s">
        <v>190</v>
      </c>
      <c r="B29" s="8" t="s">
        <v>191</v>
      </c>
      <c r="C29" s="8" t="s">
        <v>144</v>
      </c>
      <c r="D29" s="8" t="s">
        <v>167</v>
      </c>
      <c r="E29" s="8" t="s">
        <v>168</v>
      </c>
      <c r="F29" s="8" t="s">
        <v>20</v>
      </c>
      <c r="G29" s="8" t="s">
        <v>20</v>
      </c>
      <c r="H29" s="8" t="s">
        <v>192</v>
      </c>
      <c r="I29" s="8" t="s">
        <v>170</v>
      </c>
      <c r="J29" s="8" t="s">
        <v>171</v>
      </c>
      <c r="K29" s="8" t="s">
        <v>172</v>
      </c>
      <c r="L29" s="8" t="s">
        <v>25</v>
      </c>
      <c r="M29" s="8" t="s">
        <v>41</v>
      </c>
      <c r="N29" s="8" t="s">
        <v>27</v>
      </c>
      <c r="O29" s="8" t="s">
        <v>21</v>
      </c>
    </row>
    <row r="30" ht="60" customHeight="1" spans="1:15">
      <c r="A30" s="8" t="s">
        <v>193</v>
      </c>
      <c r="B30" s="8" t="s">
        <v>194</v>
      </c>
      <c r="C30" s="8" t="s">
        <v>144</v>
      </c>
      <c r="D30" s="8" t="s">
        <v>167</v>
      </c>
      <c r="E30" s="8" t="s">
        <v>168</v>
      </c>
      <c r="F30" s="8" t="s">
        <v>20</v>
      </c>
      <c r="G30" s="8" t="s">
        <v>20</v>
      </c>
      <c r="H30" s="8" t="s">
        <v>195</v>
      </c>
      <c r="I30" s="8" t="s">
        <v>170</v>
      </c>
      <c r="J30" s="8" t="s">
        <v>171</v>
      </c>
      <c r="K30" s="8" t="s">
        <v>172</v>
      </c>
      <c r="L30" s="8" t="s">
        <v>25</v>
      </c>
      <c r="M30" s="8" t="s">
        <v>41</v>
      </c>
      <c r="N30" s="8" t="s">
        <v>27</v>
      </c>
      <c r="O30" s="8" t="s">
        <v>21</v>
      </c>
    </row>
    <row r="31" ht="60" customHeight="1" spans="1:15">
      <c r="A31" s="8" t="s">
        <v>196</v>
      </c>
      <c r="B31" s="8" t="s">
        <v>197</v>
      </c>
      <c r="C31" s="8" t="s">
        <v>144</v>
      </c>
      <c r="D31" s="8" t="s">
        <v>167</v>
      </c>
      <c r="E31" s="8" t="s">
        <v>168</v>
      </c>
      <c r="F31" s="8" t="s">
        <v>20</v>
      </c>
      <c r="G31" s="8" t="s">
        <v>20</v>
      </c>
      <c r="H31" s="8" t="s">
        <v>198</v>
      </c>
      <c r="I31" s="8" t="s">
        <v>170</v>
      </c>
      <c r="J31" s="8" t="s">
        <v>171</v>
      </c>
      <c r="K31" s="8" t="s">
        <v>172</v>
      </c>
      <c r="L31" s="8" t="s">
        <v>25</v>
      </c>
      <c r="M31" s="8" t="s">
        <v>41</v>
      </c>
      <c r="N31" s="8" t="s">
        <v>27</v>
      </c>
      <c r="O31" s="8" t="s">
        <v>21</v>
      </c>
    </row>
    <row r="32" ht="60" customHeight="1" spans="1:15">
      <c r="A32" s="8" t="s">
        <v>199</v>
      </c>
      <c r="B32" s="8" t="s">
        <v>200</v>
      </c>
      <c r="C32" s="8" t="s">
        <v>144</v>
      </c>
      <c r="D32" s="8" t="s">
        <v>167</v>
      </c>
      <c r="E32" s="8" t="s">
        <v>168</v>
      </c>
      <c r="F32" s="8" t="s">
        <v>20</v>
      </c>
      <c r="G32" s="8" t="s">
        <v>20</v>
      </c>
      <c r="H32" s="8" t="s">
        <v>201</v>
      </c>
      <c r="I32" s="8" t="s">
        <v>176</v>
      </c>
      <c r="J32" s="8" t="s">
        <v>171</v>
      </c>
      <c r="K32" s="8" t="s">
        <v>177</v>
      </c>
      <c r="L32" s="8" t="s">
        <v>25</v>
      </c>
      <c r="M32" s="8" t="s">
        <v>41</v>
      </c>
      <c r="N32" s="8" t="s">
        <v>27</v>
      </c>
      <c r="O32" s="8" t="s">
        <v>21</v>
      </c>
    </row>
    <row r="33" ht="60" customHeight="1" spans="1:15">
      <c r="A33" s="8" t="s">
        <v>202</v>
      </c>
      <c r="B33" s="8" t="s">
        <v>203</v>
      </c>
      <c r="C33" s="8" t="s">
        <v>144</v>
      </c>
      <c r="D33" s="8" t="s">
        <v>167</v>
      </c>
      <c r="E33" s="8" t="s">
        <v>168</v>
      </c>
      <c r="F33" s="8" t="s">
        <v>20</v>
      </c>
      <c r="G33" s="8" t="s">
        <v>20</v>
      </c>
      <c r="H33" s="8" t="s">
        <v>204</v>
      </c>
      <c r="I33" s="8" t="s">
        <v>170</v>
      </c>
      <c r="J33" s="8" t="s">
        <v>171</v>
      </c>
      <c r="K33" s="8" t="s">
        <v>172</v>
      </c>
      <c r="L33" s="8" t="s">
        <v>25</v>
      </c>
      <c r="M33" s="8" t="s">
        <v>41</v>
      </c>
      <c r="N33" s="8" t="s">
        <v>27</v>
      </c>
      <c r="O33" s="8" t="s">
        <v>21</v>
      </c>
    </row>
    <row r="34" ht="60" customHeight="1"/>
    <row r="35" ht="60" customHeight="1"/>
    <row r="36" ht="60" customHeight="1"/>
    <row r="37" ht="60" customHeight="1"/>
    <row r="38" ht="60" customHeight="1"/>
    <row r="39" ht="60" customHeight="1"/>
    <row r="40" ht="60" customHeight="1"/>
    <row r="41" ht="60" customHeight="1"/>
    <row r="42" ht="60" customHeight="1"/>
    <row r="43" ht="60" customHeight="1"/>
    <row r="44" ht="60" customHeight="1"/>
    <row r="45" ht="60" customHeight="1"/>
    <row r="46" ht="60" customHeight="1"/>
    <row r="47" ht="60" customHeight="1"/>
    <row r="48" ht="60" customHeight="1"/>
    <row r="49" ht="60" customHeight="1"/>
    <row r="50" ht="60" customHeight="1"/>
    <row r="51" ht="60" customHeight="1"/>
    <row r="52" ht="60" customHeight="1"/>
    <row r="53" ht="60" customHeight="1"/>
    <row r="54" ht="60" customHeight="1"/>
    <row r="55" ht="60" customHeight="1"/>
    <row r="56" ht="60" customHeight="1"/>
    <row r="57" ht="60" customHeight="1"/>
    <row r="58" ht="60" customHeight="1"/>
    <row r="59" ht="60" customHeight="1"/>
    <row r="60" ht="60" customHeight="1"/>
    <row r="61" ht="60" customHeight="1"/>
    <row r="62" ht="60" customHeight="1"/>
    <row r="63" ht="60" customHeight="1"/>
    <row r="64" ht="60" customHeight="1"/>
    <row r="65" ht="60" customHeight="1"/>
    <row r="66" ht="60" customHeight="1"/>
    <row r="67" ht="60" customHeight="1"/>
  </sheetData>
  <conditionalFormatting sqref="F2:F33">
    <cfRule type="expression" dxfId="0" priority="1">
      <formula>F2="高"</formula>
    </cfRule>
    <cfRule type="expression" dxfId="1" priority="2">
      <formula>F2="中"</formula>
    </cfRule>
  </conditionalFormatting>
  <dataValidations count="1">
    <dataValidation type="list" sqref="N2:N33">
      <formula1>"待处理,已修正,需复核,删除/重做"</formula1>
    </dataValidation>
  </dataValidations>
  <pageMargins left="0.699305555555556" right="0.699305555555556"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1"/>
  <sheetViews>
    <sheetView workbookViewId="0">
      <selection activeCell="A1" sqref="A1:F1"/>
    </sheetView>
  </sheetViews>
  <sheetFormatPr defaultColWidth="9.64166666666667" defaultRowHeight="13.65" outlineLevelCol="5"/>
  <cols>
    <col min="1" max="2" width="26" customWidth="1"/>
    <col min="3" max="3" width="52" customWidth="1"/>
  </cols>
  <sheetData>
    <row r="1" ht="17.65" spans="1:6">
      <c r="A1" s="3" t="s">
        <v>205</v>
      </c>
      <c r="B1" s="3" t="s">
        <v>21</v>
      </c>
      <c r="C1" s="3" t="s">
        <v>21</v>
      </c>
      <c r="D1" s="3" t="s">
        <v>21</v>
      </c>
      <c r="E1" s="3" t="s">
        <v>21</v>
      </c>
      <c r="F1" s="3" t="s">
        <v>21</v>
      </c>
    </row>
    <row r="3" spans="1:6">
      <c r="A3" s="4" t="s">
        <v>206</v>
      </c>
      <c r="B3" s="4" t="s">
        <v>207</v>
      </c>
      <c r="C3" s="4" t="s">
        <v>208</v>
      </c>
    </row>
    <row r="4" ht="14.35" spans="1:6">
      <c r="A4" s="2" t="s">
        <v>209</v>
      </c>
      <c r="B4" s="2">
        <v>300</v>
      </c>
      <c r="C4" s="2" t="s">
        <v>210</v>
      </c>
    </row>
    <row r="5" ht="14.35" spans="1:6">
      <c r="A5" s="2" t="s">
        <v>211</v>
      </c>
      <c r="B5" s="2">
        <v>340</v>
      </c>
      <c r="C5" s="2" t="s">
        <v>212</v>
      </c>
    </row>
    <row r="6" ht="14.35" spans="1:6">
      <c r="A6" s="2" t="s">
        <v>213</v>
      </c>
      <c r="B6" s="2">
        <f>B5-B4</f>
        <v>40</v>
      </c>
      <c r="C6" s="2" t="s">
        <v>214</v>
      </c>
    </row>
    <row r="7" ht="14.35" spans="1:6">
      <c r="A7" s="2" t="s">
        <v>215</v>
      </c>
      <c r="B7" s="2">
        <v>66</v>
      </c>
      <c r="C7" s="2" t="s">
        <v>216</v>
      </c>
    </row>
    <row r="8" ht="14.35" spans="1:6">
      <c r="A8" s="2" t="s">
        <v>217</v>
      </c>
      <c r="B8" s="2">
        <f>COUNTIF(问题清单!F2:F33,"高")</f>
        <v>26</v>
      </c>
      <c r="C8" s="2" t="s">
        <v>218</v>
      </c>
    </row>
    <row r="9" ht="14.35" spans="1:6">
      <c r="A9" s="2" t="s">
        <v>219</v>
      </c>
      <c r="B9" s="2">
        <f>COUNTIFS(问题清单!C2:C33,"L2",问题清单!E2:E33,"跨文档推理")</f>
        <v>11</v>
      </c>
      <c r="C9" s="2" t="s">
        <v>220</v>
      </c>
    </row>
    <row r="10" ht="14.35" spans="1:6">
      <c r="A10" s="2" t="s">
        <v>221</v>
      </c>
      <c r="B10" s="2">
        <f>COUNTIFS(问题清单!C2:C33,"L3",问题清单!E2:E33,"未满足跨独立规范/Std字段不完整")</f>
        <v>0</v>
      </c>
      <c r="C10" s="2" t="s">
        <v>222</v>
      </c>
    </row>
    <row r="12" spans="1:6">
      <c r="A12" s="5" t="s">
        <v>3</v>
      </c>
      <c r="B12" s="5" t="s">
        <v>223</v>
      </c>
      <c r="D12" s="6" t="s">
        <v>5</v>
      </c>
      <c r="E12" s="6" t="s">
        <v>223</v>
      </c>
    </row>
    <row r="13" ht="14.35" spans="1:6">
      <c r="A13" s="2" t="s">
        <v>145</v>
      </c>
      <c r="B13" s="2">
        <f>COUNTIF(问题清单!D2:D33,"事实/推理")</f>
        <v>1</v>
      </c>
      <c r="C13" s="2"/>
      <c r="D13" s="2" t="s">
        <v>20</v>
      </c>
      <c r="E13" s="2">
        <f>COUNTIF(问题清单!F2:F33,"高")</f>
        <v>26</v>
      </c>
    </row>
    <row r="14" ht="14.35" spans="1:6">
      <c r="A14" s="2" t="s">
        <v>57</v>
      </c>
      <c r="B14" s="2">
        <f>COUNTIF(问题清单!D2:D33,"事实/条款")</f>
        <v>3</v>
      </c>
      <c r="C14" s="2"/>
      <c r="D14" s="2" t="s">
        <v>37</v>
      </c>
      <c r="E14" s="2">
        <f>COUNTIF(问题清单!F2:F33,"中")</f>
        <v>6</v>
      </c>
    </row>
    <row r="15" ht="14.35" spans="1:6">
      <c r="A15" s="2" t="s">
        <v>65</v>
      </c>
      <c r="B15" s="2">
        <f>COUNTIF(问题清单!D2:D33,"事实/答案")</f>
        <v>7</v>
      </c>
      <c r="C15" s="2"/>
      <c r="D15" s="2"/>
      <c r="E15" s="2"/>
    </row>
    <row r="16" ht="14.35" spans="1:6">
      <c r="A16" s="2" t="s">
        <v>35</v>
      </c>
      <c r="B16" s="2">
        <f>COUNTIF(问题清单!D2:D33,"元数据/说明")</f>
        <v>1</v>
      </c>
      <c r="C16" s="2"/>
      <c r="D16" s="2"/>
      <c r="E16" s="2"/>
    </row>
    <row r="17" ht="14.35" spans="1:5">
      <c r="A17" s="2" t="s">
        <v>167</v>
      </c>
      <c r="B17" s="2">
        <f>COUNTIF(问题清单!D2:D33,"分层规则")</f>
        <v>11</v>
      </c>
      <c r="C17" s="2"/>
      <c r="D17" s="2"/>
      <c r="E17" s="2"/>
    </row>
    <row r="18" ht="14.35" spans="1:5">
      <c r="A18" s="2" t="s">
        <v>18</v>
      </c>
      <c r="B18" s="2">
        <f>COUNTIF(问题清单!D2:D33,"数量/结构")</f>
        <v>2</v>
      </c>
      <c r="C18" s="2"/>
      <c r="D18" s="2"/>
      <c r="E18" s="2"/>
    </row>
    <row r="19" ht="14.35" spans="1:5">
      <c r="A19" s="2" t="s">
        <v>43</v>
      </c>
      <c r="B19" s="2">
        <f>COUNTIF(问题清单!D2:D33,"格式/OCR")</f>
        <v>6</v>
      </c>
      <c r="C19" s="2"/>
      <c r="D19" s="2"/>
      <c r="E19" s="2"/>
    </row>
    <row r="20" ht="14.35" spans="1:5">
      <c r="A20" s="2" t="s">
        <v>49</v>
      </c>
      <c r="B20" s="2">
        <f>COUNTIF(问题清单!D2:D33,"质检规则")</f>
        <v>1</v>
      </c>
      <c r="C20" s="2"/>
      <c r="D20" s="2"/>
      <c r="E20" s="2"/>
    </row>
    <row r="21" spans="1:5">
      <c r="A21" s="2"/>
      <c r="B21" s="2"/>
      <c r="C21" s="2"/>
      <c r="D21" s="2"/>
      <c r="E21" s="2"/>
    </row>
  </sheetData>
  <mergeCells count="1">
    <mergeCell ref="A1:F1"/>
  </mergeCells>
  <pageMargins left="0.699305555555556" right="0.699305555555556"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
  <sheetViews>
    <sheetView workbookViewId="0">
      <selection activeCell="A1" sqref="A1"/>
    </sheetView>
  </sheetViews>
  <sheetFormatPr defaultColWidth="9.64166666666667" defaultRowHeight="13.65" outlineLevelRow="6" outlineLevelCol="5"/>
  <cols>
    <col min="1" max="6" width="20" customWidth="1"/>
  </cols>
  <sheetData>
    <row r="1" ht="14.35" spans="1:6">
      <c r="A1" s="1" t="s">
        <v>224</v>
      </c>
      <c r="B1" s="1" t="s">
        <v>225</v>
      </c>
      <c r="C1" s="1" t="s">
        <v>226</v>
      </c>
      <c r="D1" s="1" t="s">
        <v>227</v>
      </c>
      <c r="E1" s="1" t="s">
        <v>228</v>
      </c>
      <c r="F1" s="1" t="s">
        <v>229</v>
      </c>
    </row>
    <row r="2" ht="14.35" spans="1:6">
      <c r="A2" s="2" t="s">
        <v>230</v>
      </c>
      <c r="B2" s="2">
        <v>100</v>
      </c>
      <c r="C2" s="2">
        <v>100</v>
      </c>
      <c r="D2" s="2">
        <f t="shared" ref="D2:D7" si="0">C2-B2</f>
        <v>0</v>
      </c>
      <c r="E2" s="2" t="s">
        <v>41</v>
      </c>
      <c r="F2" s="2" t="str">
        <f t="shared" ref="F2:F7" si="1">IF(D2=0,"通过","不通过")</f>
        <v>通过</v>
      </c>
    </row>
    <row r="3" ht="14.35" spans="1:6">
      <c r="A3" s="2" t="s">
        <v>231</v>
      </c>
      <c r="B3" s="2">
        <v>100</v>
      </c>
      <c r="C3" s="2">
        <v>100</v>
      </c>
      <c r="D3" s="2">
        <f t="shared" si="0"/>
        <v>0</v>
      </c>
      <c r="E3" s="2" t="s">
        <v>41</v>
      </c>
      <c r="F3" s="2" t="str">
        <f t="shared" si="1"/>
        <v>通过</v>
      </c>
    </row>
    <row r="4" ht="14.35" spans="1:6">
      <c r="A4" s="2" t="s">
        <v>232</v>
      </c>
      <c r="B4" s="2">
        <v>100</v>
      </c>
      <c r="C4" s="2">
        <v>100</v>
      </c>
      <c r="D4" s="2">
        <f t="shared" si="0"/>
        <v>0</v>
      </c>
      <c r="E4" s="2" t="s">
        <v>41</v>
      </c>
      <c r="F4" s="2" t="str">
        <f t="shared" si="1"/>
        <v>通过</v>
      </c>
    </row>
    <row r="5" ht="14.35" spans="1:6">
      <c r="A5" s="2" t="s">
        <v>233</v>
      </c>
      <c r="B5" s="2">
        <v>20</v>
      </c>
      <c r="C5" s="2">
        <v>0</v>
      </c>
      <c r="D5" s="2">
        <f t="shared" si="0"/>
        <v>-20</v>
      </c>
      <c r="E5" s="2" t="s">
        <v>234</v>
      </c>
      <c r="F5" s="2" t="str">
        <f>IF(D5=0,"通过","缺失")</f>
        <v>缺失</v>
      </c>
    </row>
    <row r="6" ht="14.35" spans="1:6">
      <c r="A6" s="2" t="s">
        <v>235</v>
      </c>
      <c r="B6" s="2">
        <v>20</v>
      </c>
      <c r="C6" s="2">
        <v>0</v>
      </c>
      <c r="D6" s="2">
        <f t="shared" si="0"/>
        <v>-20</v>
      </c>
      <c r="E6" s="2" t="s">
        <v>234</v>
      </c>
      <c r="F6" s="2" t="str">
        <f>IF(D6=0,"通过","缺失")</f>
        <v>缺失</v>
      </c>
    </row>
    <row r="7" ht="14.35" spans="1:6">
      <c r="A7" s="2" t="s">
        <v>236</v>
      </c>
      <c r="B7" s="2">
        <v>340</v>
      </c>
      <c r="C7" s="2">
        <v>300</v>
      </c>
      <c r="D7" s="2">
        <f t="shared" si="0"/>
        <v>-40</v>
      </c>
      <c r="E7" s="2" t="s">
        <v>237</v>
      </c>
      <c r="F7" s="2" t="str">
        <f t="shared" si="1"/>
        <v>不通过</v>
      </c>
    </row>
  </sheetData>
  <pageMargins left="0.699305555555556" right="0.699305555555556"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0"/>
  <sheetViews>
    <sheetView workbookViewId="0">
      <selection activeCell="A1" sqref="A1"/>
    </sheetView>
  </sheetViews>
  <sheetFormatPr defaultColWidth="9.64166666666667" defaultRowHeight="13.65" outlineLevelCol="1"/>
  <cols>
    <col min="1" max="1" width="22" customWidth="1"/>
    <col min="2" max="2" width="80" customWidth="1"/>
  </cols>
  <sheetData>
    <row r="1" ht="14.35" spans="1:2">
      <c r="A1" s="1" t="s">
        <v>238</v>
      </c>
      <c r="B1" s="1" t="s">
        <v>208</v>
      </c>
    </row>
    <row r="2" ht="14.35" spans="1:2">
      <c r="A2" s="2" t="s">
        <v>0</v>
      </c>
      <c r="B2" s="2" t="s">
        <v>239</v>
      </c>
    </row>
    <row r="3" ht="14.35" spans="1:2">
      <c r="A3" s="2" t="s">
        <v>1</v>
      </c>
      <c r="B3" s="2" t="s">
        <v>240</v>
      </c>
    </row>
    <row r="4" ht="14.35" spans="1:2">
      <c r="A4" s="2" t="s">
        <v>2</v>
      </c>
      <c r="B4" s="2" t="s">
        <v>241</v>
      </c>
    </row>
    <row r="5" ht="14.35" spans="1:2">
      <c r="A5" s="2" t="s">
        <v>3</v>
      </c>
      <c r="B5" s="2" t="s">
        <v>242</v>
      </c>
    </row>
    <row r="6" ht="14.35" spans="1:2">
      <c r="A6" s="2" t="s">
        <v>5</v>
      </c>
      <c r="B6" s="2" t="s">
        <v>243</v>
      </c>
    </row>
    <row r="7" ht="14.35" spans="1:2">
      <c r="A7" s="2" t="s">
        <v>6</v>
      </c>
      <c r="B7" s="2" t="s">
        <v>244</v>
      </c>
    </row>
    <row r="8" ht="14.35" spans="1:2">
      <c r="A8" s="2" t="s">
        <v>12</v>
      </c>
      <c r="B8" s="2" t="s">
        <v>245</v>
      </c>
    </row>
    <row r="9" ht="28.65" spans="1:2">
      <c r="A9" s="2" t="s">
        <v>246</v>
      </c>
      <c r="B9" s="2" t="s">
        <v>247</v>
      </c>
    </row>
    <row r="10" spans="1:2">
      <c r="A10" s="2"/>
      <c r="B10" s="2"/>
    </row>
    <row r="11" spans="1:2">
      <c r="A11" s="2"/>
      <c r="B11" s="2"/>
    </row>
    <row r="12" spans="1:2">
      <c r="A12" s="2"/>
      <c r="B12" s="2"/>
    </row>
    <row r="13" spans="1:2">
      <c r="A13" s="2"/>
      <c r="B13" s="2"/>
    </row>
    <row r="14" spans="1:2">
      <c r="A14" s="2"/>
      <c r="B14" s="2"/>
    </row>
    <row r="15" spans="1:2">
      <c r="A15" s="2"/>
      <c r="B15" s="2"/>
    </row>
    <row r="16" spans="1:2">
      <c r="A16" s="2"/>
      <c r="B16" s="2"/>
    </row>
    <row r="17" spans="1:2">
      <c r="A17" s="2"/>
      <c r="B17" s="2"/>
    </row>
    <row r="18" spans="1:2">
      <c r="A18" s="2"/>
      <c r="B18" s="2"/>
    </row>
    <row r="19" spans="1:2">
      <c r="A19" s="2"/>
      <c r="B19" s="2"/>
    </row>
    <row r="20" spans="1:2">
      <c r="A20" s="2"/>
      <c r="B20" s="2"/>
    </row>
  </sheetData>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问题清单</vt:lpstr>
      <vt:lpstr>汇总统计</vt:lpstr>
      <vt:lpstr>分层核查</vt:lpstr>
      <vt:lpstr>字段说明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iPhone</dc:creator>
  <cp:lastModifiedBy>Zhang</cp:lastModifiedBy>
  <dcterms:created xsi:type="dcterms:W3CDTF">2026-06-30T11:02:00Z</dcterms:created>
  <dcterms:modified xsi:type="dcterms:W3CDTF">2026-06-30T12:51:32Z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3189B1AAF8B9488CBC9FBBE1035F7E77_13</vt:lpwstr>
  </property>
  <property fmtid="{D5CDD505-2E9C-101B-9397-08002B2CF9AE}" pid="3" name="KSOProductBuildVer">
    <vt:lpwstr>2052-12.1.0.26884</vt:lpwstr>
  </property>
  <property fmtid="{D5CDD505-2E9C-101B-9397-08002B2CF9AE}" pid="4" name="CalculationRule">
    <vt:i4>0</vt:i4>
  </property>
  <property fmtid="{D5CDD505-2E9C-101B-9397-08002B2CF9AE}" pid="5" name="KSOReadingLayout">
    <vt:bool>false</vt:bool>
  </property>
</Properties>
</file>